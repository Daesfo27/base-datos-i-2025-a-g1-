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esfo27\Documents\base-datos-i-2025-a-g1\02-semana\"/>
    </mc:Choice>
  </mc:AlternateContent>
  <xr:revisionPtr revIDLastSave="0" documentId="8_{B4003C4D-BE0D-4C53-B8F9-D36BB6C187EE}" xr6:coauthVersionLast="47" xr6:coauthVersionMax="47" xr10:uidLastSave="{00000000-0000-0000-0000-000000000000}"/>
  <bookViews>
    <workbookView xWindow="-108" yWindow="-108" windowWidth="23256" windowHeight="13176" xr2:uid="{37AFEBD6-6A30-4219-8668-520DA4A9B4F1}"/>
  </bookViews>
  <sheets>
    <sheet name="Hoja1" sheetId="1" r:id="rId1"/>
    <sheet name="Base" sheetId="2" r:id="rId2"/>
    <sheet name="Horar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H8" i="1"/>
  <c r="F8" i="1"/>
  <c r="D8" i="1"/>
  <c r="B8" i="1"/>
  <c r="G3" i="2"/>
  <c r="G4" i="2"/>
  <c r="G5" i="2"/>
  <c r="G6" i="2"/>
  <c r="G7" i="2"/>
  <c r="G8" i="2"/>
  <c r="G9" i="2"/>
  <c r="G10" i="2"/>
  <c r="G2" i="2"/>
  <c r="H2" i="2" l="1" a="1"/>
  <c r="H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<sst xmlns="http://schemas.openxmlformats.org/spreadsheetml/2006/main" count="144" uniqueCount="48">
  <si>
    <t>LUNES</t>
  </si>
  <si>
    <t>MARTES</t>
  </si>
  <si>
    <t>MIERCOLES</t>
  </si>
  <si>
    <t>JUEVES</t>
  </si>
  <si>
    <t>VIERNES</t>
  </si>
  <si>
    <t>Programacion 3</t>
  </si>
  <si>
    <t>Metodo Numerico</t>
  </si>
  <si>
    <t>Calculo Especial</t>
  </si>
  <si>
    <t>Analisis de sistema</t>
  </si>
  <si>
    <t>Base de datos 1</t>
  </si>
  <si>
    <t>Fundamentos electro</t>
  </si>
  <si>
    <t>Periodo</t>
  </si>
  <si>
    <t>2025_A</t>
  </si>
  <si>
    <t>Lunes</t>
  </si>
  <si>
    <t>Martes</t>
  </si>
  <si>
    <t>Miercoles</t>
  </si>
  <si>
    <t>Jueves</t>
  </si>
  <si>
    <t>Viernes</t>
  </si>
  <si>
    <t>Aux</t>
  </si>
  <si>
    <t>Metodo numerico,                           Analisis de sistemas</t>
  </si>
  <si>
    <t>Programacion 3,                             Base de Datos</t>
  </si>
  <si>
    <t>Calculo Especial                       Fundamentos de electronica</t>
  </si>
  <si>
    <t>Analisis de sistema                                  Programacio 3</t>
  </si>
  <si>
    <t>Metodo Numerico                           Analisis de sistema</t>
  </si>
  <si>
    <t>Calculo especial                      Fundametnos de la electronica</t>
  </si>
  <si>
    <t>Analisis sistema               Programacion 3</t>
  </si>
  <si>
    <t>Calculo Especial                                                   Base de Datos 1</t>
  </si>
  <si>
    <t>Metodo Numerico                  Programacion 3</t>
  </si>
  <si>
    <t>Analisis de Sistema</t>
  </si>
  <si>
    <t>Calculo Especial                                 Metodo Numerico</t>
  </si>
  <si>
    <t>Analisis de Sistema                 Programacion 3</t>
  </si>
  <si>
    <t>Metodo Numerico                          Programacion 3</t>
  </si>
  <si>
    <t>Calculo Especial                                Base de Datos 1</t>
  </si>
  <si>
    <t xml:space="preserve">HORARIOS DE ESTUDIANTES </t>
  </si>
  <si>
    <t>Base de Datos 1</t>
  </si>
  <si>
    <t xml:space="preserve">Nombre de Estudiante: </t>
  </si>
  <si>
    <t>Filtro</t>
  </si>
  <si>
    <t>Daniel Steven Fontalvo</t>
  </si>
  <si>
    <t>Leonardo Fabio Perez</t>
  </si>
  <si>
    <t xml:space="preserve">Juan Camilo Cruz </t>
  </si>
  <si>
    <t xml:space="preserve">Nicolas Quintero Garcia </t>
  </si>
  <si>
    <t xml:space="preserve">Angel Jhosep Best </t>
  </si>
  <si>
    <t>Karina Cantillo Plaza</t>
  </si>
  <si>
    <t>Lizeth Lorena Caicedo Mora</t>
  </si>
  <si>
    <t>Juan Sebastian Osorio Fierro</t>
  </si>
  <si>
    <t>Santiago Bernal Gomez</t>
  </si>
  <si>
    <t>Estudiantes</t>
  </si>
  <si>
    <t>Metodo Numerico
Analisis de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</si>
</sst>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9.9978637043366805E-2"/>
      </left>
      <right style="thin">
        <color theme="3" tint="9.9978637043366805E-2"/>
      </right>
      <top style="thin">
        <color theme="3" tint="9.9978637043366805E-2"/>
      </top>
      <bottom/>
      <diagonal/>
    </border>
    <border>
      <left style="thin">
        <color theme="3" tint="9.9978637043366805E-2"/>
      </left>
      <right style="thin">
        <color theme="3" tint="9.9978637043366805E-2"/>
      </right>
      <top/>
      <bottom/>
      <diagonal/>
    </border>
    <border>
      <left style="thin">
        <color theme="3" tint="9.9978637043366805E-2"/>
      </left>
      <right style="thin">
        <color theme="3" tint="9.9978637043366805E-2"/>
      </right>
      <top/>
      <bottom style="thin">
        <color theme="3" tint="9.9978637043366805E-2"/>
      </bottom>
      <diagonal/>
    </border>
    <border>
      <left/>
      <right style="thin">
        <color theme="3" tint="9.9978637043366805E-2"/>
      </right>
      <top/>
      <bottom style="thin">
        <color theme="3" tint="9.9978637043366805E-2"/>
      </bottom>
      <diagonal/>
    </border>
    <border>
      <left/>
      <right style="thin">
        <color indexed="64"/>
      </right>
      <top/>
      <bottom style="thin">
        <color theme="3" tint="9.9978637043366805E-2"/>
      </bottom>
      <diagonal/>
    </border>
    <border>
      <left style="thin">
        <color theme="3" tint="9.9978637043366805E-2"/>
      </left>
      <right style="thin">
        <color indexed="64"/>
      </right>
      <top/>
      <bottom/>
      <diagonal/>
    </border>
    <border>
      <left style="thin">
        <color theme="3" tint="9.9978637043366805E-2"/>
      </left>
      <right/>
      <top style="thin">
        <color theme="3" tint="9.9978637043366805E-2"/>
      </top>
      <bottom/>
      <diagonal/>
    </border>
    <border>
      <left/>
      <right/>
      <top style="thin">
        <color theme="3" tint="9.9978637043366805E-2"/>
      </top>
      <bottom/>
      <diagonal/>
    </border>
    <border>
      <left/>
      <right style="thin">
        <color theme="3" tint="9.9978637043366805E-2"/>
      </right>
      <top style="thin">
        <color theme="3" tint="9.9978637043366805E-2"/>
      </top>
      <bottom/>
      <diagonal/>
    </border>
    <border>
      <left style="thin">
        <color theme="3" tint="9.9978637043366805E-2"/>
      </left>
      <right/>
      <top/>
      <bottom/>
      <diagonal/>
    </border>
    <border>
      <left/>
      <right style="thin">
        <color theme="3" tint="9.9978637043366805E-2"/>
      </right>
      <top/>
      <bottom/>
      <diagonal/>
    </border>
    <border>
      <left style="thin">
        <color theme="3" tint="9.9978637043366805E-2"/>
      </left>
      <right/>
      <top/>
      <bottom style="thin">
        <color theme="3" tint="9.9978637043366805E-2"/>
      </bottom>
      <diagonal/>
    </border>
    <border>
      <left style="thin">
        <color indexed="64"/>
      </left>
      <right style="thin">
        <color theme="3" tint="9.9978637043366805E-2"/>
      </right>
      <top style="thin">
        <color theme="3" tint="9.9978637043366805E-2"/>
      </top>
      <bottom/>
      <diagonal/>
    </border>
    <border>
      <left/>
      <right style="thin">
        <color theme="3" tint="9.9978637043366805E-2"/>
      </right>
      <top style="thin">
        <color theme="3" tint="9.9978637043366805E-2"/>
      </top>
      <bottom style="thin">
        <color theme="3" tint="9.9978637043366805E-2"/>
      </bottom>
      <diagonal/>
    </border>
    <border>
      <left/>
      <right/>
      <top style="thin">
        <color theme="3" tint="9.9978637043366805E-2"/>
      </top>
      <bottom style="thin">
        <color theme="3" tint="9.9978637043366805E-2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2" xfId="0" applyFill="1" applyBorder="1"/>
    <xf numFmtId="0" fontId="0" fillId="4" borderId="0" xfId="0" applyFill="1"/>
    <xf numFmtId="0" fontId="0" fillId="5" borderId="3" xfId="0" applyFill="1" applyBorder="1"/>
    <xf numFmtId="0" fontId="0" fillId="6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7" borderId="1" xfId="0" applyFill="1" applyBorder="1"/>
    <xf numFmtId="0" fontId="0" fillId="7" borderId="7" xfId="0" applyFill="1" applyBorder="1"/>
    <xf numFmtId="20" fontId="0" fillId="7" borderId="7" xfId="0" applyNumberFormat="1" applyFill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20" fontId="0" fillId="7" borderId="6" xfId="0" applyNumberFormat="1" applyFill="1" applyBorder="1"/>
    <xf numFmtId="20" fontId="0" fillId="7" borderId="9" xfId="0" applyNumberFormat="1" applyFill="1" applyBorder="1"/>
    <xf numFmtId="0" fontId="0" fillId="0" borderId="13" xfId="0" applyBorder="1"/>
    <xf numFmtId="0" fontId="0" fillId="0" borderId="14" xfId="0" applyBorder="1"/>
    <xf numFmtId="0" fontId="0" fillId="3" borderId="6" xfId="0" applyFill="1" applyBorder="1"/>
    <xf numFmtId="0" fontId="0" fillId="3" borderId="5" xfId="0" applyFill="1" applyBorder="1"/>
    <xf numFmtId="0" fontId="0" fillId="3" borderId="9" xfId="0" applyFill="1" applyBorder="1"/>
    <xf numFmtId="0" fontId="0" fillId="3" borderId="1" xfId="0" applyFill="1" applyBorder="1"/>
    <xf numFmtId="0" fontId="0" fillId="3" borderId="7" xfId="0" applyFill="1" applyBorder="1"/>
    <xf numFmtId="20" fontId="0" fillId="3" borderId="5" xfId="0" applyNumberFormat="1" applyFill="1" applyBorder="1"/>
    <xf numFmtId="0" fontId="0" fillId="3" borderId="15" xfId="0" applyFill="1" applyBorder="1"/>
    <xf numFmtId="20" fontId="0" fillId="3" borderId="7" xfId="0" applyNumberFormat="1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1" xfId="0" applyFill="1" applyBorder="1"/>
    <xf numFmtId="0" fontId="0" fillId="4" borderId="7" xfId="0" applyFill="1" applyBorder="1"/>
    <xf numFmtId="20" fontId="0" fillId="4" borderId="6" xfId="0" applyNumberFormat="1" applyFill="1" applyBorder="1"/>
    <xf numFmtId="0" fontId="0" fillId="4" borderId="9" xfId="0" applyFill="1" applyBorder="1"/>
    <xf numFmtId="20" fontId="0" fillId="4" borderId="7" xfId="0" applyNumberFormat="1" applyFill="1" applyBorder="1"/>
    <xf numFmtId="0" fontId="0" fillId="4" borderId="12" xfId="0" applyFill="1" applyBorder="1"/>
    <xf numFmtId="0" fontId="0" fillId="4" borderId="22" xfId="0" applyFill="1" applyBorder="1"/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8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</cellXfs>
  <cellStyles count="1">
    <cellStyle name="Normal" xfId="0" builtinId="0"/>
  </cellStyles>
  <dxfs count="9"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18EBF-D66D-4A90-A887-70EC9988984B}" name="Tabla1" displayName="Tabla1" ref="A1:G10" totalsRowShown="0" headerRowDxfId="8" dataDxfId="7">
  <autoFilter ref="A1:G10" xr:uid="{CF318EBF-D66D-4A90-A887-70EC9988984B}"/>
  <tableColumns count="7">
    <tableColumn id="7" xr3:uid="{B1C462EC-8FFF-45D0-9B1F-56C6A499CF49}" name="Estudiantes" dataDxfId="6"/>
    <tableColumn id="1" xr3:uid="{D179D6F2-D379-4BC8-B3F7-097F798CDE29}" name="Lunes" dataDxfId="5"/>
    <tableColumn id="2" xr3:uid="{451D588C-02D6-45A5-80D9-FA9A891345B3}" name="Martes" dataDxfId="4"/>
    <tableColumn id="3" xr3:uid="{3FC33579-A676-459A-B88D-2E0DC633171A}" name="Miercoles" dataDxfId="3"/>
    <tableColumn id="4" xr3:uid="{7884EF8A-13A8-47DB-BB90-4284557691AA}" name="Jueves" dataDxfId="2"/>
    <tableColumn id="5" xr3:uid="{62BBAFAA-8BC4-4FFA-9C2F-8FF9A313F686}" name="Viernes" dataDxfId="1"/>
    <tableColumn id="6" xr3:uid="{CE51C584-4139-49DE-BA47-A39727DDE869}" name="Aux" dataDxfId="0">
      <calculatedColumnFormula>ISNUMBER(SEARCH(Hoja1!$C$5,Tabla1[[#This Row],[Estudiantes]],1))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F7B9-CAC0-4D2B-80F9-F1E393B3A82C}">
  <sheetPr>
    <tabColor theme="5" tint="0.59999389629810485"/>
  </sheetPr>
  <dimension ref="A1:K15"/>
  <sheetViews>
    <sheetView tabSelected="1" workbookViewId="0">
      <selection activeCell="C5" sqref="C5:E5"/>
    </sheetView>
  </sheetViews>
  <sheetFormatPr baseColWidth="10" defaultRowHeight="14.4" x14ac:dyDescent="0.3"/>
  <cols>
    <col min="1" max="1" width="11.5546875" style="38"/>
    <col min="2" max="2" width="15.6640625" style="38" customWidth="1"/>
    <col min="3" max="16384" width="11.5546875" style="38"/>
  </cols>
  <sheetData>
    <row r="1" spans="1:11" x14ac:dyDescent="0.3">
      <c r="A1" s="41"/>
      <c r="B1" s="42" t="s">
        <v>33</v>
      </c>
      <c r="C1" s="42"/>
    </row>
    <row r="3" spans="1:11" x14ac:dyDescent="0.3">
      <c r="A3" s="45" t="s">
        <v>34</v>
      </c>
      <c r="B3" s="45"/>
    </row>
    <row r="5" spans="1:11" x14ac:dyDescent="0.3">
      <c r="A5" s="46" t="s">
        <v>35</v>
      </c>
      <c r="B5" s="46"/>
      <c r="C5" s="49"/>
      <c r="D5" s="49"/>
      <c r="E5" s="49"/>
    </row>
    <row r="7" spans="1:11" x14ac:dyDescent="0.3">
      <c r="B7" s="47" t="s">
        <v>13</v>
      </c>
      <c r="C7" s="48"/>
      <c r="D7" s="47" t="s">
        <v>14</v>
      </c>
      <c r="E7" s="48"/>
      <c r="F7" s="47" t="s">
        <v>15</v>
      </c>
      <c r="G7" s="48"/>
      <c r="H7" s="47" t="s">
        <v>16</v>
      </c>
      <c r="I7" s="48"/>
      <c r="J7" s="47" t="s">
        <v>17</v>
      </c>
      <c r="K7" s="48"/>
    </row>
    <row r="8" spans="1:11" x14ac:dyDescent="0.3">
      <c r="B8" s="50" t="str">
        <f>IFERROR(VLOOKUP($C$5,Base!$A$2:$F$10,2,0),"")</f>
        <v/>
      </c>
      <c r="C8" s="51"/>
      <c r="D8" s="50" t="str">
        <f>IFERROR(VLOOKUP($C$5,Base!$A$2:$F$10,3,0),"")</f>
        <v/>
      </c>
      <c r="E8" s="51"/>
      <c r="F8" s="50" t="str">
        <f>IFERROR(VLOOKUP($C$5,Base!$A$2:$F$10,4,0),"")</f>
        <v/>
      </c>
      <c r="G8" s="51"/>
      <c r="H8" s="50" t="str">
        <f>IFERROR(VLOOKUP($C$5,Base!$A$2:$F$10,5,0),"")</f>
        <v/>
      </c>
      <c r="I8" s="51"/>
      <c r="J8" s="50" t="str">
        <f>IFERROR(VLOOKUP($C$5,Base!$A$2:$F$10,6,0),"")</f>
        <v/>
      </c>
      <c r="K8" s="51"/>
    </row>
    <row r="9" spans="1:11" x14ac:dyDescent="0.3">
      <c r="B9" s="52"/>
      <c r="C9" s="53"/>
      <c r="D9" s="52"/>
      <c r="E9" s="53"/>
      <c r="F9" s="52"/>
      <c r="G9" s="53"/>
      <c r="H9" s="52"/>
      <c r="I9" s="53"/>
      <c r="J9" s="52"/>
      <c r="K9" s="53"/>
    </row>
    <row r="10" spans="1:11" x14ac:dyDescent="0.3">
      <c r="B10" s="54"/>
      <c r="C10" s="55"/>
      <c r="D10" s="54"/>
      <c r="E10" s="55"/>
      <c r="F10" s="54"/>
      <c r="G10" s="55"/>
      <c r="H10" s="54"/>
      <c r="I10" s="55"/>
      <c r="J10" s="54"/>
      <c r="K10" s="55"/>
    </row>
    <row r="11" spans="1:11" x14ac:dyDescent="0.3">
      <c r="G11" s="43"/>
      <c r="H11" s="43"/>
    </row>
    <row r="15" spans="1:11" x14ac:dyDescent="0.3">
      <c r="E15" s="44"/>
    </row>
  </sheetData>
  <mergeCells count="13">
    <mergeCell ref="H7:I7"/>
    <mergeCell ref="J7:K7"/>
    <mergeCell ref="B8:C10"/>
    <mergeCell ref="D8:E10"/>
    <mergeCell ref="F8:G10"/>
    <mergeCell ref="H8:I10"/>
    <mergeCell ref="J8:K10"/>
    <mergeCell ref="A3:B3"/>
    <mergeCell ref="A5:B5"/>
    <mergeCell ref="B7:C7"/>
    <mergeCell ref="D7:E7"/>
    <mergeCell ref="F7:G7"/>
    <mergeCell ref="C5:E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1E30809E-1824-4B7E-A91E-12F60150FE01}">
          <x14:formula1>
            <xm:f>_xlfn.ANCHORARRAY(Base!$H$2)</xm:f>
          </x14:formula1>
          <xm:sqref>C5:E5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1676-F821-4539-85F8-CDF9DCF7CA80}">
  <sheetPr>
    <tabColor theme="6" tint="0.39997558519241921"/>
  </sheetPr>
  <dimension ref="A1:H10"/>
  <sheetViews>
    <sheetView workbookViewId="0">
      <selection activeCell="E10" sqref="E10"/>
    </sheetView>
  </sheetViews>
  <sheetFormatPr baseColWidth="10" defaultRowHeight="14.4" x14ac:dyDescent="0.3"/>
  <cols>
    <col min="1" max="1" width="31.44140625" style="38" customWidth="1"/>
    <col min="2" max="2" width="29.44140625" style="38" customWidth="1"/>
    <col min="3" max="3" width="28.77734375" style="38" customWidth="1"/>
    <col min="4" max="4" width="28.21875" style="38" customWidth="1"/>
    <col min="5" max="5" width="33.6640625" style="38" customWidth="1"/>
    <col min="6" max="6" width="25.88671875" style="38" customWidth="1"/>
    <col min="7" max="7" width="16.6640625" style="38" customWidth="1"/>
    <col min="8" max="8" width="23.88671875" style="38" bestFit="1" customWidth="1"/>
    <col min="9" max="9" width="23.88671875" style="38" customWidth="1"/>
    <col min="10" max="16384" width="11.5546875" style="38"/>
  </cols>
  <sheetData>
    <row r="1" spans="1:8" s="40" customFormat="1" x14ac:dyDescent="0.3">
      <c r="A1" s="40" t="s">
        <v>46</v>
      </c>
      <c r="B1" s="40" t="s">
        <v>13</v>
      </c>
      <c r="C1" s="40" t="s">
        <v>14</v>
      </c>
      <c r="D1" s="40" t="s">
        <v>15</v>
      </c>
      <c r="E1" s="40" t="s">
        <v>16</v>
      </c>
      <c r="F1" s="40" t="s">
        <v>17</v>
      </c>
      <c r="G1" s="40" t="s">
        <v>18</v>
      </c>
      <c r="H1" s="39" t="s">
        <v>36</v>
      </c>
    </row>
    <row r="2" spans="1:8" ht="37.200000000000003" customHeight="1" x14ac:dyDescent="0.3">
      <c r="A2" s="38" t="s">
        <v>37</v>
      </c>
      <c r="B2" s="37" t="s">
        <v>20</v>
      </c>
      <c r="C2" s="36" t="s">
        <v>19</v>
      </c>
      <c r="D2" s="36" t="s">
        <v>21</v>
      </c>
      <c r="E2" s="36" t="s">
        <v>22</v>
      </c>
      <c r="F2" s="36" t="s">
        <v>7</v>
      </c>
      <c r="G2" s="38" t="b">
        <f>ISNUMBER(SEARCH(Hoja1!$C$5,Tabla1[[#This Row],[Estudiantes]],1))</f>
        <v>1</v>
      </c>
      <c r="H2" s="38" t="str" cm="1">
        <f t="array" ref="H2:H10">_xlfn._xlws.FILTER(Tabla1[Estudiantes],Tabla1[Aux])</f>
        <v>Daniel Steven Fontalvo</v>
      </c>
    </row>
    <row r="3" spans="1:8" ht="28.8" customHeight="1" x14ac:dyDescent="0.3">
      <c r="A3" s="38" t="s">
        <v>38</v>
      </c>
      <c r="B3" s="36" t="s">
        <v>47</v>
      </c>
      <c r="C3" s="36" t="s">
        <v>24</v>
      </c>
      <c r="D3" s="36" t="s">
        <v>25</v>
      </c>
      <c r="E3" s="36" t="s">
        <v>26</v>
      </c>
      <c r="F3" s="36" t="s">
        <v>27</v>
      </c>
      <c r="G3" s="38" t="b">
        <f>ISNUMBER(SEARCH(Hoja1!$C$5,Tabla1[[#This Row],[Estudiantes]],1))</f>
        <v>1</v>
      </c>
      <c r="H3" s="38" t="str">
        <v>Leonardo Fabio Perez</v>
      </c>
    </row>
    <row r="4" spans="1:8" ht="38.4" customHeight="1" x14ac:dyDescent="0.3">
      <c r="A4" s="38" t="s">
        <v>39</v>
      </c>
      <c r="B4" s="36" t="s">
        <v>29</v>
      </c>
      <c r="C4" s="36" t="s">
        <v>30</v>
      </c>
      <c r="D4" s="36" t="s">
        <v>32</v>
      </c>
      <c r="E4" s="36" t="s">
        <v>31</v>
      </c>
      <c r="F4" s="36" t="s">
        <v>28</v>
      </c>
      <c r="G4" s="38" t="b">
        <f>ISNUMBER(SEARCH(Hoja1!$C$5,Tabla1[[#This Row],[Estudiantes]],1))</f>
        <v>1</v>
      </c>
      <c r="H4" s="38" t="str">
        <v xml:space="preserve">Juan Camilo Cruz </v>
      </c>
    </row>
    <row r="5" spans="1:8" ht="30.6" customHeight="1" x14ac:dyDescent="0.3">
      <c r="A5" s="38" t="s">
        <v>41</v>
      </c>
      <c r="B5" s="36" t="s">
        <v>23</v>
      </c>
      <c r="C5" s="36" t="s">
        <v>24</v>
      </c>
      <c r="D5" s="36" t="s">
        <v>25</v>
      </c>
      <c r="E5" s="36" t="s">
        <v>26</v>
      </c>
      <c r="F5" s="36" t="s">
        <v>27</v>
      </c>
      <c r="G5" s="38" t="b">
        <f>ISNUMBER(SEARCH(Hoja1!$C$5,Tabla1[[#This Row],[Estudiantes]],1))</f>
        <v>1</v>
      </c>
      <c r="H5" s="38" t="str">
        <v xml:space="preserve">Angel Jhosep Best </v>
      </c>
    </row>
    <row r="6" spans="1:8" ht="40.200000000000003" customHeight="1" x14ac:dyDescent="0.3">
      <c r="A6" s="38" t="s">
        <v>40</v>
      </c>
      <c r="B6" s="36" t="s">
        <v>29</v>
      </c>
      <c r="C6" s="36" t="s">
        <v>30</v>
      </c>
      <c r="D6" s="36" t="s">
        <v>32</v>
      </c>
      <c r="E6" s="36" t="s">
        <v>31</v>
      </c>
      <c r="F6" s="36" t="s">
        <v>28</v>
      </c>
      <c r="G6" s="38" t="b">
        <f>ISNUMBER(SEARCH(Hoja1!$C$5,Tabla1[[#This Row],[Estudiantes]],1))</f>
        <v>1</v>
      </c>
      <c r="H6" s="38" t="str">
        <v xml:space="preserve">Nicolas Quintero Garcia </v>
      </c>
    </row>
    <row r="7" spans="1:8" ht="39.6" customHeight="1" x14ac:dyDescent="0.3">
      <c r="A7" s="38" t="s">
        <v>42</v>
      </c>
      <c r="B7" s="37" t="s">
        <v>20</v>
      </c>
      <c r="C7" s="36" t="s">
        <v>19</v>
      </c>
      <c r="D7" s="36" t="s">
        <v>21</v>
      </c>
      <c r="E7" s="36" t="s">
        <v>22</v>
      </c>
      <c r="F7" s="36" t="s">
        <v>7</v>
      </c>
      <c r="G7" s="38" t="b">
        <f>ISNUMBER(SEARCH(Hoja1!$C$5,Tabla1[[#This Row],[Estudiantes]],1))</f>
        <v>1</v>
      </c>
      <c r="H7" s="38" t="str">
        <v>Karina Cantillo Plaza</v>
      </c>
    </row>
    <row r="8" spans="1:8" ht="37.200000000000003" customHeight="1" x14ac:dyDescent="0.3">
      <c r="A8" s="38" t="s">
        <v>43</v>
      </c>
      <c r="B8" s="37" t="s">
        <v>20</v>
      </c>
      <c r="C8" s="36" t="s">
        <v>19</v>
      </c>
      <c r="D8" s="36" t="s">
        <v>21</v>
      </c>
      <c r="E8" s="36" t="s">
        <v>22</v>
      </c>
      <c r="F8" s="36" t="s">
        <v>7</v>
      </c>
      <c r="G8" s="38" t="b">
        <f>ISNUMBER(SEARCH(Hoja1!$C$5,Tabla1[[#This Row],[Estudiantes]],1))</f>
        <v>1</v>
      </c>
      <c r="H8" s="38" t="str">
        <v>Lizeth Lorena Caicedo Mora</v>
      </c>
    </row>
    <row r="9" spans="1:8" ht="36" customHeight="1" x14ac:dyDescent="0.3">
      <c r="A9" s="38" t="s">
        <v>44</v>
      </c>
      <c r="B9" s="36" t="s">
        <v>23</v>
      </c>
      <c r="C9" s="36" t="s">
        <v>24</v>
      </c>
      <c r="D9" s="36" t="s">
        <v>25</v>
      </c>
      <c r="E9" s="36" t="s">
        <v>26</v>
      </c>
      <c r="F9" s="36" t="s">
        <v>27</v>
      </c>
      <c r="G9" s="38" t="b">
        <f>ISNUMBER(SEARCH(Hoja1!$C$5,Tabla1[[#This Row],[Estudiantes]],1))</f>
        <v>1</v>
      </c>
      <c r="H9" s="38" t="str">
        <v>Juan Sebastian Osorio Fierro</v>
      </c>
    </row>
    <row r="10" spans="1:8" ht="44.4" customHeight="1" x14ac:dyDescent="0.3">
      <c r="A10" s="38" t="s">
        <v>45</v>
      </c>
      <c r="B10" s="36" t="s">
        <v>29</v>
      </c>
      <c r="C10" s="36" t="s">
        <v>30</v>
      </c>
      <c r="D10" s="36" t="s">
        <v>32</v>
      </c>
      <c r="E10" s="36" t="s">
        <v>31</v>
      </c>
      <c r="F10" s="36" t="s">
        <v>28</v>
      </c>
      <c r="G10" s="38" t="b">
        <f>ISNUMBER(SEARCH(Hoja1!$C$5,Tabla1[[#This Row],[Estudiantes]],1))</f>
        <v>1</v>
      </c>
      <c r="H10" s="38" t="str">
        <v>Santiago Bernal Gomez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ADAC-9E95-4C8E-9376-0F1CE033A768}">
  <sheetPr>
    <tabColor theme="4" tint="0.39997558519241921"/>
  </sheetPr>
  <dimension ref="A1:F13"/>
  <sheetViews>
    <sheetView workbookViewId="0">
      <selection activeCell="B12" sqref="B12"/>
    </sheetView>
  </sheetViews>
  <sheetFormatPr baseColWidth="10" defaultRowHeight="14.4" x14ac:dyDescent="0.3"/>
  <cols>
    <col min="2" max="2" width="17.77734375" customWidth="1"/>
    <col min="3" max="3" width="18" customWidth="1"/>
    <col min="4" max="4" width="16.109375" customWidth="1"/>
    <col min="5" max="5" width="16.33203125" customWidth="1"/>
    <col min="6" max="6" width="20.21875" customWidth="1"/>
  </cols>
  <sheetData>
    <row r="1" spans="1:6" x14ac:dyDescent="0.3">
      <c r="A1" s="18" t="s">
        <v>11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</row>
    <row r="2" spans="1:6" x14ac:dyDescent="0.3">
      <c r="A2" s="17" t="s">
        <v>12</v>
      </c>
      <c r="B2" s="15" t="s">
        <v>5</v>
      </c>
      <c r="C2" s="6" t="s">
        <v>6</v>
      </c>
      <c r="D2" s="6" t="s">
        <v>7</v>
      </c>
      <c r="E2" s="6" t="s">
        <v>8</v>
      </c>
      <c r="F2" s="7" t="s">
        <v>7</v>
      </c>
    </row>
    <row r="3" spans="1:6" x14ac:dyDescent="0.3">
      <c r="A3" s="11" t="s">
        <v>12</v>
      </c>
      <c r="B3" s="16" t="s">
        <v>5</v>
      </c>
      <c r="C3" s="8" t="s">
        <v>6</v>
      </c>
      <c r="D3" s="8" t="s">
        <v>7</v>
      </c>
      <c r="E3" s="8" t="s">
        <v>8</v>
      </c>
      <c r="F3" s="8" t="s">
        <v>7</v>
      </c>
    </row>
    <row r="4" spans="1:6" x14ac:dyDescent="0.3">
      <c r="A4" s="11" t="s">
        <v>12</v>
      </c>
      <c r="B4" s="15" t="s">
        <v>9</v>
      </c>
      <c r="C4" s="6" t="s">
        <v>8</v>
      </c>
      <c r="D4" s="9" t="s">
        <v>10</v>
      </c>
      <c r="E4" s="6" t="s">
        <v>5</v>
      </c>
      <c r="F4" s="6"/>
    </row>
    <row r="5" spans="1:6" x14ac:dyDescent="0.3">
      <c r="A5" t="s">
        <v>12</v>
      </c>
      <c r="B5" s="10" t="s">
        <v>9</v>
      </c>
      <c r="C5" s="9" t="s">
        <v>8</v>
      </c>
      <c r="D5" s="9" t="s">
        <v>10</v>
      </c>
      <c r="E5" s="9" t="s">
        <v>5</v>
      </c>
      <c r="F5" s="9"/>
    </row>
    <row r="6" spans="1:6" x14ac:dyDescent="0.3">
      <c r="A6" s="12" t="s">
        <v>12</v>
      </c>
      <c r="B6" s="19" t="s">
        <v>6</v>
      </c>
      <c r="C6" s="20" t="s">
        <v>7</v>
      </c>
      <c r="D6" s="20" t="s">
        <v>8</v>
      </c>
      <c r="E6" s="19" t="s">
        <v>7</v>
      </c>
      <c r="F6" s="20" t="s">
        <v>6</v>
      </c>
    </row>
    <row r="7" spans="1:6" x14ac:dyDescent="0.3">
      <c r="A7" s="11" t="s">
        <v>12</v>
      </c>
      <c r="B7" s="21" t="s">
        <v>6</v>
      </c>
      <c r="C7" s="22" t="s">
        <v>7</v>
      </c>
      <c r="D7" s="22" t="s">
        <v>8</v>
      </c>
      <c r="E7" s="22" t="s">
        <v>7</v>
      </c>
      <c r="F7" s="22" t="s">
        <v>6</v>
      </c>
    </row>
    <row r="8" spans="1:6" x14ac:dyDescent="0.3">
      <c r="A8" s="14" t="s">
        <v>12</v>
      </c>
      <c r="B8" s="19" t="s">
        <v>8</v>
      </c>
      <c r="C8" s="23" t="s">
        <v>10</v>
      </c>
      <c r="D8" s="20" t="s">
        <v>5</v>
      </c>
      <c r="E8" s="24" t="s">
        <v>9</v>
      </c>
      <c r="F8" s="24" t="s">
        <v>5</v>
      </c>
    </row>
    <row r="9" spans="1:6" x14ac:dyDescent="0.3">
      <c r="A9" s="13" t="s">
        <v>12</v>
      </c>
      <c r="B9" s="25" t="s">
        <v>8</v>
      </c>
      <c r="C9" s="23" t="s">
        <v>10</v>
      </c>
      <c r="D9" s="23" t="s">
        <v>5</v>
      </c>
      <c r="E9" s="26" t="s">
        <v>9</v>
      </c>
      <c r="F9" s="26" t="s">
        <v>5</v>
      </c>
    </row>
    <row r="10" spans="1:6" x14ac:dyDescent="0.3">
      <c r="A10" t="s">
        <v>12</v>
      </c>
      <c r="B10" s="27" t="s">
        <v>7</v>
      </c>
      <c r="C10" s="27" t="s">
        <v>8</v>
      </c>
      <c r="D10" s="28" t="s">
        <v>7</v>
      </c>
      <c r="E10" s="27" t="s">
        <v>6</v>
      </c>
      <c r="F10" s="27" t="s">
        <v>8</v>
      </c>
    </row>
    <row r="11" spans="1:6" x14ac:dyDescent="0.3">
      <c r="A11" s="12" t="s">
        <v>12</v>
      </c>
      <c r="B11" s="29" t="s">
        <v>7</v>
      </c>
      <c r="C11" s="29" t="s">
        <v>8</v>
      </c>
      <c r="D11" s="29" t="s">
        <v>7</v>
      </c>
      <c r="E11" s="29" t="s">
        <v>6</v>
      </c>
      <c r="F11" s="30" t="s">
        <v>8</v>
      </c>
    </row>
    <row r="12" spans="1:6" x14ac:dyDescent="0.3">
      <c r="A12" s="11" t="s">
        <v>12</v>
      </c>
      <c r="B12" s="28" t="s">
        <v>6</v>
      </c>
      <c r="C12" s="27" t="s">
        <v>5</v>
      </c>
      <c r="D12" s="31" t="s">
        <v>9</v>
      </c>
      <c r="E12" s="27" t="s">
        <v>5</v>
      </c>
      <c r="F12" s="35"/>
    </row>
    <row r="13" spans="1:6" x14ac:dyDescent="0.3">
      <c r="A13" s="14" t="s">
        <v>12</v>
      </c>
      <c r="B13" s="32" t="s">
        <v>6</v>
      </c>
      <c r="C13" s="30" t="s">
        <v>5</v>
      </c>
      <c r="D13" s="33" t="s">
        <v>9</v>
      </c>
      <c r="E13" s="30" t="s">
        <v>5</v>
      </c>
      <c r="F13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Base</vt:lpstr>
      <vt:lpstr>Horarios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Daesfo 27</dc:creator>
  <cp:lastModifiedBy>Daesfo 27</cp:lastModifiedBy>
  <dcterms:created xsi:type="dcterms:W3CDTF">2025-02-10T20:33:57Z</dcterms:created>
  <dcterms:modified xsi:type="dcterms:W3CDTF">2025-02-13T01:23:40Z</dcterms:modified>
</cp:coreProperties>
</file>